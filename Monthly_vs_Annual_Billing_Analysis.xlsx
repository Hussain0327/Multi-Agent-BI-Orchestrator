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Charts &amp; Visuals" sheetId="4" state="visible" r:id="rId4"/>
    <sheet xmlns:r="http://schemas.openxmlformats.org/officeDocument/2006/relationships" name="Assumption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C3E50"/>
      <sz val="18"/>
    </font>
    <font>
      <b val="1"/>
    </font>
    <font>
      <b val="1"/>
      <color rgb="002C3E50"/>
      <sz val="14"/>
    </font>
    <font>
      <b val="1"/>
      <color rgb="00FFFFFF"/>
    </font>
    <font>
      <b val="1"/>
      <sz val="1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4" fillId="5" borderId="0" pivotButton="0" quotePrefix="0" xfId="0"/>
    <xf numFmtId="0" fontId="4" fillId="6" borderId="0" applyAlignment="1" pivotButton="0" quotePrefix="0" xfId="0">
      <alignment horizontal="center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Executive Summary</t>
        </is>
      </c>
    </row>
    <row r="3">
      <c r="A3" s="2" t="inlineStr">
        <is>
          <t>Analysis Question:</t>
        </is>
      </c>
      <c r="B3" t="inlineStr">
        <is>
          <t xml:space="preserve">
What are the financial implications of switching from monthly to annual billing?
Current state:
- 500 customers at $99/month
- 5% monthly churn
- $500 CAC per customer
Proposed:
- $990/year (16% discount from $1,188/year)
- Target: 3% monthly churn (annual commitment improves retention)
</t>
        </is>
      </c>
    </row>
    <row r="5">
      <c r="A5" s="2" t="inlineStr">
        <is>
          <t>Summary:</t>
        </is>
      </c>
    </row>
    <row r="6">
      <c r="A6" s="3" t="inlineStr">
        <is>
          <t>Switching from monthly to annual billing is projected to be financially superior despite the 16% discount, primarily due to reduced customer churn increasing Lifetime Value (LTV). The model shows a 63% increase in Net Customer Value (LTV - CAC) and substantial cash flow improvements. Over a 3-year period, the annual plan generates $492,000 more in net profit and improves ROI on customer acquisition by 153 percentage points.</t>
        </is>
      </c>
    </row>
    <row r="7"/>
    <row r="8"/>
    <row r="9"/>
    <row r="10"/>
    <row r="12">
      <c r="A12" s="4" t="inlineStr">
        <is>
          <t>Key Metrics</t>
        </is>
      </c>
    </row>
    <row r="13">
      <c r="A13" s="5" t="inlineStr">
        <is>
          <t>Metric</t>
        </is>
      </c>
      <c r="B13" s="5" t="inlineStr">
        <is>
          <t>Value</t>
        </is>
      </c>
      <c r="C13" s="5" t="inlineStr">
        <is>
          <t>Unit</t>
        </is>
      </c>
      <c r="D13" s="5" t="inlineStr">
        <is>
          <t>Confidence</t>
        </is>
      </c>
    </row>
    <row r="14">
      <c r="A14" t="inlineStr">
        <is>
          <t>Monthly Recurring Revenue Per Customer</t>
        </is>
      </c>
      <c r="B14" t="n">
        <v>99</v>
      </c>
      <c r="C14" t="inlineStr">
        <is>
          <t>USD</t>
        </is>
      </c>
      <c r="D14" s="6" t="inlineStr">
        <is>
          <t>High</t>
        </is>
      </c>
    </row>
    <row r="15">
      <c r="A15" t="inlineStr">
        <is>
          <t>Annual Recurring Revenue Per Customer Monthly</t>
        </is>
      </c>
      <c r="B15" t="n">
        <v>1188</v>
      </c>
      <c r="C15" t="inlineStr">
        <is>
          <t>USD</t>
        </is>
      </c>
      <c r="D15" s="6" t="inlineStr">
        <is>
          <t>High</t>
        </is>
      </c>
    </row>
    <row r="16">
      <c r="A16" t="inlineStr">
        <is>
          <t>Annual Recurring Revenue Per Customer Annual</t>
        </is>
      </c>
      <c r="B16" t="n">
        <v>990</v>
      </c>
      <c r="C16" t="inlineStr">
        <is>
          <t>USD</t>
        </is>
      </c>
      <c r="D16" s="6" t="inlineStr">
        <is>
          <t>High</t>
        </is>
      </c>
    </row>
    <row r="17">
      <c r="A17" t="inlineStr">
        <is>
          <t>Customer Acquisition Cost</t>
        </is>
      </c>
      <c r="B17" t="n">
        <v>500</v>
      </c>
      <c r="C17" t="inlineStr">
        <is>
          <t>USD</t>
        </is>
      </c>
      <c r="D17" s="6" t="inlineStr">
        <is>
          <t>High</t>
        </is>
      </c>
    </row>
    <row r="18">
      <c r="A18" t="inlineStr">
        <is>
          <t>Monthly Churn Rate Monthly</t>
        </is>
      </c>
      <c r="B18" t="n">
        <v>5</v>
      </c>
      <c r="C18" t="inlineStr">
        <is>
          <t>percent</t>
        </is>
      </c>
      <c r="D18" s="6" t="inlineStr">
        <is>
          <t>High</t>
        </is>
      </c>
    </row>
    <row r="19">
      <c r="A19" t="inlineStr">
        <is>
          <t>Monthly Churn Rate Annual</t>
        </is>
      </c>
      <c r="B19" t="n">
        <v>3</v>
      </c>
      <c r="C19" t="inlineStr">
        <is>
          <t>percent</t>
        </is>
      </c>
      <c r="D19" s="6" t="inlineStr">
        <is>
          <t>High</t>
        </is>
      </c>
    </row>
    <row r="20">
      <c r="A20" t="inlineStr">
        <is>
          <t>Customer Lifetime Months Monthly</t>
        </is>
      </c>
      <c r="B20" t="n">
        <v>20</v>
      </c>
      <c r="C20" t="inlineStr">
        <is>
          <t>months</t>
        </is>
      </c>
      <c r="D20" s="6" t="inlineStr">
        <is>
          <t>High</t>
        </is>
      </c>
    </row>
    <row r="21">
      <c r="A21" t="inlineStr">
        <is>
          <t>Customer Lifetime Months Annual</t>
        </is>
      </c>
      <c r="B21" t="n">
        <v>33.3</v>
      </c>
      <c r="C21" t="inlineStr">
        <is>
          <t>months</t>
        </is>
      </c>
      <c r="D21" s="6" t="inlineStr">
        <is>
          <t>High</t>
        </is>
      </c>
    </row>
    <row r="22">
      <c r="A22" t="inlineStr">
        <is>
          <t>Lifetime Value Monthly</t>
        </is>
      </c>
      <c r="B22" t="n">
        <v>1980</v>
      </c>
      <c r="C22" t="inlineStr">
        <is>
          <t>USD</t>
        </is>
      </c>
      <c r="D22" s="6" t="inlineStr">
        <is>
          <t>High</t>
        </is>
      </c>
    </row>
    <row r="23">
      <c r="A23" t="inlineStr">
        <is>
          <t>Lifetime Value Annual</t>
        </is>
      </c>
      <c r="B23" t="n">
        <v>2747</v>
      </c>
      <c r="C23" t="inlineStr">
        <is>
          <t>USD</t>
        </is>
      </c>
      <c r="D23" s="6" t="inlineStr">
        <is>
          <t>High</t>
        </is>
      </c>
    </row>
    <row r="24">
      <c r="A24" t="inlineStr">
        <is>
          <t>Net Customer Value Monthly</t>
        </is>
      </c>
      <c r="B24" t="n">
        <v>1480</v>
      </c>
      <c r="C24" t="inlineStr">
        <is>
          <t>USD</t>
        </is>
      </c>
      <c r="D24" s="6" t="inlineStr">
        <is>
          <t>High</t>
        </is>
      </c>
    </row>
    <row r="25">
      <c r="A25" t="inlineStr">
        <is>
          <t>Net Customer Value Annual</t>
        </is>
      </c>
      <c r="B25" t="n">
        <v>2247</v>
      </c>
      <c r="C25" t="inlineStr">
        <is>
          <t>USD</t>
        </is>
      </c>
      <c r="D25" s="6" t="inlineStr">
        <is>
          <t>High</t>
        </is>
      </c>
    </row>
    <row r="26">
      <c r="A26" t="inlineStr">
        <is>
          <t>Total Customers Acquired 3 Year</t>
        </is>
      </c>
      <c r="B26" t="n">
        <v>1220</v>
      </c>
      <c r="C26" t="inlineStr">
        <is>
          <t>customers</t>
        </is>
      </c>
      <c r="D26" s="6" t="inlineStr">
        <is>
          <t>High</t>
        </is>
      </c>
    </row>
    <row r="27">
      <c r="A27" t="inlineStr">
        <is>
          <t>Total Gross Revenue Monthly 3 Year</t>
        </is>
      </c>
      <c r="B27" t="n">
        <v>1923000</v>
      </c>
      <c r="C27" t="inlineStr">
        <is>
          <t>USD</t>
        </is>
      </c>
      <c r="D27" s="6" t="inlineStr">
        <is>
          <t>High</t>
        </is>
      </c>
    </row>
    <row r="28">
      <c r="A28" t="inlineStr">
        <is>
          <t>Total Gross Revenue Annual 3 Year</t>
        </is>
      </c>
      <c r="B28" t="n">
        <v>2415000</v>
      </c>
      <c r="C28" t="inlineStr">
        <is>
          <t>USD</t>
        </is>
      </c>
      <c r="D28" s="6" t="inlineStr">
        <is>
          <t>High</t>
        </is>
      </c>
    </row>
    <row r="29">
      <c r="A29" t="inlineStr">
        <is>
          <t>Total Cac Spend 3 Year</t>
        </is>
      </c>
      <c r="B29" t="n">
        <v>610000</v>
      </c>
      <c r="C29" t="inlineStr">
        <is>
          <t>USD</t>
        </is>
      </c>
      <c r="D29" s="6" t="inlineStr">
        <is>
          <t>High</t>
        </is>
      </c>
    </row>
    <row r="30">
      <c r="A30" t="inlineStr">
        <is>
          <t>Net Profit Monthly 3 Year</t>
        </is>
      </c>
      <c r="B30" t="n">
        <v>1313000</v>
      </c>
      <c r="C30" t="inlineStr">
        <is>
          <t>USD</t>
        </is>
      </c>
      <c r="D30" s="6" t="inlineStr">
        <is>
          <t>High</t>
        </is>
      </c>
    </row>
    <row r="31">
      <c r="A31" t="inlineStr">
        <is>
          <t>Net Profit Annual 3 Year</t>
        </is>
      </c>
      <c r="B31" t="n">
        <v>1805000</v>
      </c>
      <c r="C31" t="inlineStr">
        <is>
          <t>USD</t>
        </is>
      </c>
      <c r="D31" s="6" t="inlineStr">
        <is>
          <t>High</t>
        </is>
      </c>
    </row>
    <row r="32">
      <c r="A32" t="inlineStr">
        <is>
          <t>Roi Cac Monthly</t>
        </is>
      </c>
      <c r="B32" t="n">
        <v>296</v>
      </c>
      <c r="C32" t="inlineStr">
        <is>
          <t>percent</t>
        </is>
      </c>
      <c r="D32" s="6" t="inlineStr">
        <is>
          <t>High</t>
        </is>
      </c>
    </row>
    <row r="33">
      <c r="A33" t="inlineStr">
        <is>
          <t>Roi Cac Annual</t>
        </is>
      </c>
      <c r="B33" t="n">
        <v>449</v>
      </c>
      <c r="C33" t="inlineStr">
        <is>
          <t>percent</t>
        </is>
      </c>
      <c r="D33" s="6" t="inlineStr">
        <is>
          <t>High</t>
        </is>
      </c>
    </row>
    <row r="34">
      <c r="A34" t="inlineStr">
        <is>
          <t>Payback Period Monthly</t>
        </is>
      </c>
      <c r="B34" t="n">
        <v>5.1</v>
      </c>
      <c r="C34" t="inlineStr">
        <is>
          <t>months</t>
        </is>
      </c>
      <c r="D34" s="6" t="inlineStr">
        <is>
          <t>High</t>
        </is>
      </c>
    </row>
    <row r="35">
      <c r="A35" t="inlineStr">
        <is>
          <t>Payback Period Annual</t>
        </is>
      </c>
      <c r="B35" t="n">
        <v>0</v>
      </c>
      <c r="C35" t="inlineStr">
        <is>
          <t>months</t>
        </is>
      </c>
      <c r="D35" s="6" t="inlineStr">
        <is>
          <t>High</t>
        </is>
      </c>
    </row>
    <row r="36">
      <c r="A36" t="inlineStr">
        <is>
          <t>Npv Per Customer Monthly</t>
        </is>
      </c>
      <c r="B36" t="n">
        <v>1790</v>
      </c>
      <c r="C36" t="inlineStr">
        <is>
          <t>USD</t>
        </is>
      </c>
      <c r="D36" s="7" t="inlineStr">
        <is>
          <t>Medium</t>
        </is>
      </c>
    </row>
    <row r="37">
      <c r="A37" t="inlineStr">
        <is>
          <t>Npv Per Customer Annual</t>
        </is>
      </c>
      <c r="B37" t="n">
        <v>990</v>
      </c>
      <c r="C37" t="inlineStr">
        <is>
          <t>USD</t>
        </is>
      </c>
      <c r="D37" s="6" t="inlineStr">
        <is>
          <t>High</t>
        </is>
      </c>
    </row>
    <row r="38">
      <c r="A38" t="inlineStr">
        <is>
          <t>Discount Rate</t>
        </is>
      </c>
      <c r="B38" t="n">
        <v>10</v>
      </c>
      <c r="C38" t="inlineStr">
        <is>
          <t>percent</t>
        </is>
      </c>
      <c r="D38" s="6" t="inlineStr">
        <is>
          <t>High</t>
        </is>
      </c>
    </row>
    <row r="39">
      <c r="A39" t="inlineStr">
        <is>
          <t>New Customers Per Month</t>
        </is>
      </c>
      <c r="B39" t="n">
        <v>20</v>
      </c>
      <c r="C39" t="inlineStr">
        <is>
          <t>customers</t>
        </is>
      </c>
      <c r="D39" s="6" t="inlineStr">
        <is>
          <t>High</t>
        </is>
      </c>
    </row>
    <row r="40">
      <c r="A40" t="inlineStr">
        <is>
          <t>Initial Customer Base</t>
        </is>
      </c>
      <c r="B40" t="n">
        <v>500</v>
      </c>
      <c r="C40" t="inlineStr">
        <is>
          <t>customers</t>
        </is>
      </c>
      <c r="D40" s="6" t="inlineStr">
        <is>
          <t>High</t>
        </is>
      </c>
    </row>
  </sheetData>
  <mergeCells count="3">
    <mergeCell ref="A1:D1"/>
    <mergeCell ref="B3:D3"/>
    <mergeCell ref="A6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Raw Analysis Data</t>
        </is>
      </c>
    </row>
    <row r="3">
      <c r="A3" s="9" t="inlineStr">
        <is>
          <t>Metadata</t>
        </is>
      </c>
    </row>
    <row r="4">
      <c r="A4" s="2" t="inlineStr">
        <is>
          <t>Query</t>
        </is>
      </c>
      <c r="B4" t="inlineStr">
        <is>
          <t xml:space="preserve">
What are the financial implications of switching from monthly to annual billing?
Current state:
- 500 customers at $99/month
- 5% monthly churn
- $500 CAC per customer
Proposed:
- $990/year (16% discount from $1,188/year)
- Target: 3% monthly churn (annual commitment improves retention)
</t>
        </is>
      </c>
    </row>
    <row r="5">
      <c r="A5" s="2" t="inlineStr">
        <is>
          <t>Agent</t>
        </is>
      </c>
      <c r="B5" t="inlineStr">
        <is>
          <t>Financial</t>
        </is>
      </c>
    </row>
    <row r="6">
      <c r="A6" s="2" t="inlineStr">
        <is>
          <t>Timestamp</t>
        </is>
      </c>
      <c r="B6" t="inlineStr">
        <is>
          <t>2025-11-15 20:38:43</t>
        </is>
      </c>
    </row>
    <row r="7">
      <c r="A7" s="2" t="inlineStr">
        <is>
          <t>Model</t>
        </is>
      </c>
      <c r="B7" t="inlineStr">
        <is>
          <t>DeepSeek-V3.2-Exp (Chat)</t>
        </is>
      </c>
    </row>
    <row r="8">
      <c r="A8" s="2" t="inlineStr">
        <is>
          <t>Confidence</t>
        </is>
      </c>
      <c r="B8" t="inlineStr">
        <is>
          <t>High</t>
        </is>
      </c>
    </row>
    <row r="11">
      <c r="A11" s="9" t="inlineStr">
        <is>
          <t>Key Findings</t>
        </is>
      </c>
    </row>
    <row r="12">
      <c r="A12" t="inlineStr">
        <is>
          <t>1.</t>
        </is>
      </c>
      <c r="B12" s="10" t="inlineStr">
        <is>
          <t>Annual billing increases Net Customer Value by 63% (LTV - CAC)</t>
        </is>
      </c>
    </row>
    <row r="13">
      <c r="A13" t="inlineStr">
        <is>
          <t>2.</t>
        </is>
      </c>
      <c r="B13" s="10" t="inlineStr">
        <is>
          <t>3-year net profit increases by $492,000 (+37.5%) with annual billing</t>
        </is>
      </c>
    </row>
    <row r="14">
      <c r="A14" t="inlineStr">
        <is>
          <t>3.</t>
        </is>
      </c>
      <c r="B14" s="10" t="inlineStr">
        <is>
          <t>ROI on CAC improves by 153 percentage points with annual plan</t>
        </is>
      </c>
    </row>
    <row r="15">
      <c r="A15" t="inlineStr">
        <is>
          <t>4.</t>
        </is>
      </c>
      <c r="B15" s="10" t="inlineStr">
        <is>
          <t>Annual plan provides immediate CAC recovery vs 5.1 months for monthly</t>
        </is>
      </c>
    </row>
    <row r="16">
      <c r="A16" t="inlineStr">
        <is>
          <t>5.</t>
        </is>
      </c>
      <c r="B16" s="10" t="inlineStr">
        <is>
          <t>Reduced churn (5% to 3%) increases customer lifetime by over 13 months</t>
        </is>
      </c>
    </row>
    <row r="19">
      <c r="A19" s="9" t="inlineStr">
        <is>
          <t>Risks &amp; Considerations</t>
        </is>
      </c>
    </row>
    <row r="20">
      <c r="A20" t="inlineStr">
        <is>
          <t>1.</t>
        </is>
      </c>
      <c r="B20" s="10" t="inlineStr">
        <is>
          <t>Initial revenue dip during migration from monthly to annual billing</t>
        </is>
      </c>
    </row>
    <row r="21">
      <c r="A21" t="inlineStr">
        <is>
          <t>2.</t>
        </is>
      </c>
      <c r="B21" s="10" t="inlineStr">
        <is>
          <t>Forecast depends on churn reduction assumption holding true</t>
        </is>
      </c>
    </row>
    <row r="24">
      <c r="A24" s="9" t="inlineStr">
        <is>
          <t>Recommendations</t>
        </is>
      </c>
    </row>
    <row r="25">
      <c r="A25" s="2" t="inlineStr">
        <is>
          <t>Implement annual billing plan</t>
        </is>
      </c>
      <c r="B25" s="11" t="inlineStr">
        <is>
          <t>[HIGH]</t>
        </is>
      </c>
    </row>
    <row r="26">
      <c r="A26" t="inlineStr">
        <is>
          <t>Impact:</t>
        </is>
      </c>
      <c r="B26" t="inlineStr">
        <is>
          <t>63% increase in Net Customer Value and $492K additional profit over 3 years</t>
        </is>
      </c>
    </row>
    <row r="27">
      <c r="A27" t="inlineStr">
        <is>
          <t>Actions:</t>
        </is>
      </c>
    </row>
    <row r="28">
      <c r="B28" s="10" t="inlineStr">
        <is>
          <t>• Design annual billing option with 16% discount</t>
        </is>
      </c>
    </row>
    <row r="29">
      <c r="B29" s="10" t="inlineStr">
        <is>
          <t>• Develop migration strategy for existing customers</t>
        </is>
      </c>
    </row>
    <row r="30">
      <c r="B30" s="10" t="inlineStr">
        <is>
          <t>• Update billing systems and processes</t>
        </is>
      </c>
    </row>
    <row r="32">
      <c r="A32" s="2" t="inlineStr">
        <is>
          <t>Use phased migration strategy</t>
        </is>
      </c>
      <c r="B32" t="inlineStr">
        <is>
          <t>[MEDIUM]</t>
        </is>
      </c>
    </row>
    <row r="33">
      <c r="A33" t="inlineStr">
        <is>
          <t>Impact:</t>
        </is>
      </c>
      <c r="B33" t="inlineStr">
        <is>
          <t>Mitigates initial revenue dip while transitioning customers</t>
        </is>
      </c>
    </row>
    <row r="34">
      <c r="A34" t="inlineStr">
        <is>
          <t>Actions:</t>
        </is>
      </c>
    </row>
    <row r="35">
      <c r="B35" s="10" t="inlineStr">
        <is>
          <t>• Create customer communication plan</t>
        </is>
      </c>
    </row>
    <row r="36">
      <c r="B36" s="10" t="inlineStr">
        <is>
          <t>• Develop incentive structure for early adopters</t>
        </is>
      </c>
    </row>
    <row r="37">
      <c r="B37" s="10" t="inlineStr">
        <is>
          <t>• Monitor migration metrics closely</t>
        </is>
      </c>
    </row>
  </sheetData>
  <mergeCells count="16">
    <mergeCell ref="B33:D33"/>
    <mergeCell ref="B28:D28"/>
    <mergeCell ref="B36:D36"/>
    <mergeCell ref="B14:D14"/>
    <mergeCell ref="B15:D15"/>
    <mergeCell ref="B29:D29"/>
    <mergeCell ref="B37:D37"/>
    <mergeCell ref="B35:D35"/>
    <mergeCell ref="B26:D26"/>
    <mergeCell ref="B13:D13"/>
    <mergeCell ref="B21:D21"/>
    <mergeCell ref="A1:B1"/>
    <mergeCell ref="B30:D30"/>
    <mergeCell ref="B12:D12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8" t="inlineStr">
        <is>
          <t>Financial Calculations</t>
        </is>
      </c>
    </row>
    <row r="3">
      <c r="A3" s="12" t="inlineStr">
        <is>
          <t>Metric</t>
        </is>
      </c>
      <c r="B3" s="12" t="inlineStr">
        <is>
          <t>Base Case</t>
        </is>
      </c>
      <c r="C3" s="12" t="inlineStr">
        <is>
          <t>Upside (+20%)</t>
        </is>
      </c>
      <c r="D3" s="12" t="inlineStr">
        <is>
          <t>Downside (-20%)</t>
        </is>
      </c>
      <c r="E3" s="12" t="inlineStr">
        <is>
          <t>Formula</t>
        </is>
      </c>
    </row>
    <row r="4">
      <c r="A4" t="inlineStr">
        <is>
          <t>Monthly Recurring Revenue Per Customer</t>
        </is>
      </c>
      <c r="B4" t="n">
        <v>99</v>
      </c>
      <c r="C4">
        <f>B4*1.2</f>
        <v/>
      </c>
      <c r="D4">
        <f>B4*0.8</f>
        <v/>
      </c>
      <c r="E4" t="inlineStr">
        <is>
          <t>Direct input</t>
        </is>
      </c>
    </row>
    <row r="5">
      <c r="A5" t="inlineStr">
        <is>
          <t>Annual Recurring Revenue Per Customer Monthly</t>
        </is>
      </c>
      <c r="B5" t="n">
        <v>1188</v>
      </c>
      <c r="C5">
        <f>B5*1.2</f>
        <v/>
      </c>
      <c r="D5">
        <f>B5*0.8</f>
        <v/>
      </c>
      <c r="E5" t="inlineStr">
        <is>
          <t>Direct input</t>
        </is>
      </c>
    </row>
    <row r="6">
      <c r="A6" t="inlineStr">
        <is>
          <t>Annual Recurring Revenue Per Customer Annual</t>
        </is>
      </c>
      <c r="B6" t="n">
        <v>990</v>
      </c>
      <c r="C6">
        <f>B6*1.2</f>
        <v/>
      </c>
      <c r="D6">
        <f>B6*0.8</f>
        <v/>
      </c>
      <c r="E6" t="inlineStr">
        <is>
          <t>Direct input</t>
        </is>
      </c>
    </row>
    <row r="7">
      <c r="A7" t="inlineStr">
        <is>
          <t>Customer Acquisition Cost</t>
        </is>
      </c>
      <c r="B7" t="n">
        <v>500</v>
      </c>
      <c r="C7">
        <f>B7*1.2</f>
        <v/>
      </c>
      <c r="D7">
        <f>B7*0.8</f>
        <v/>
      </c>
      <c r="E7" t="inlineStr">
        <is>
          <t>Direct input</t>
        </is>
      </c>
    </row>
    <row r="8">
      <c r="A8" t="inlineStr">
        <is>
          <t>Monthly Churn Rate Monthly</t>
        </is>
      </c>
      <c r="B8" t="n">
        <v>5</v>
      </c>
      <c r="C8">
        <f>B8*1.2</f>
        <v/>
      </c>
      <c r="D8">
        <f>B8*0.8</f>
        <v/>
      </c>
      <c r="E8" t="inlineStr">
        <is>
          <t>Direct input</t>
        </is>
      </c>
    </row>
    <row r="9">
      <c r="A9" t="inlineStr">
        <is>
          <t>Monthly Churn Rate Annual</t>
        </is>
      </c>
      <c r="B9" t="n">
        <v>3</v>
      </c>
      <c r="C9">
        <f>B9*1.2</f>
        <v/>
      </c>
      <c r="D9">
        <f>B9*0.8</f>
        <v/>
      </c>
      <c r="E9" t="inlineStr">
        <is>
          <t>Direct input</t>
        </is>
      </c>
    </row>
    <row r="10">
      <c r="A10" t="inlineStr">
        <is>
          <t>Customer Lifetime Months Monthly</t>
        </is>
      </c>
      <c r="B10" t="n">
        <v>20</v>
      </c>
      <c r="C10">
        <f>B10*1.2</f>
        <v/>
      </c>
      <c r="D10">
        <f>B10*0.8</f>
        <v/>
      </c>
      <c r="E10" t="inlineStr">
        <is>
          <t>Direct input</t>
        </is>
      </c>
    </row>
    <row r="11">
      <c r="A11" t="inlineStr">
        <is>
          <t>Customer Lifetime Months Annual</t>
        </is>
      </c>
      <c r="B11" t="n">
        <v>33.3</v>
      </c>
      <c r="C11">
        <f>B11*1.2</f>
        <v/>
      </c>
      <c r="D11">
        <f>B11*0.8</f>
        <v/>
      </c>
      <c r="E11" t="inlineStr">
        <is>
          <t>Direct input</t>
        </is>
      </c>
    </row>
    <row r="12">
      <c r="A12" t="inlineStr">
        <is>
          <t>Lifetime Value Monthly</t>
        </is>
      </c>
      <c r="B12" t="n">
        <v>1980</v>
      </c>
      <c r="C12">
        <f>B12*1.2</f>
        <v/>
      </c>
      <c r="D12">
        <f>B12*0.8</f>
        <v/>
      </c>
      <c r="E12" t="inlineStr">
        <is>
          <t>Direct input</t>
        </is>
      </c>
    </row>
    <row r="13">
      <c r="A13" t="inlineStr">
        <is>
          <t>Lifetime Value Annual</t>
        </is>
      </c>
      <c r="B13" t="n">
        <v>2747</v>
      </c>
      <c r="C13">
        <f>B13*1.2</f>
        <v/>
      </c>
      <c r="D13">
        <f>B13*0.8</f>
        <v/>
      </c>
      <c r="E13" t="inlineStr">
        <is>
          <t>Direct input</t>
        </is>
      </c>
    </row>
    <row r="14">
      <c r="A14" t="inlineStr">
        <is>
          <t>Net Customer Value Monthly</t>
        </is>
      </c>
      <c r="B14" t="n">
        <v>1480</v>
      </c>
      <c r="C14">
        <f>B14*1.2</f>
        <v/>
      </c>
      <c r="D14">
        <f>B14*0.8</f>
        <v/>
      </c>
      <c r="E14" t="inlineStr">
        <is>
          <t>Direct input</t>
        </is>
      </c>
    </row>
    <row r="15">
      <c r="A15" t="inlineStr">
        <is>
          <t>Net Customer Value Annual</t>
        </is>
      </c>
      <c r="B15" t="n">
        <v>2247</v>
      </c>
      <c r="C15">
        <f>B15*1.2</f>
        <v/>
      </c>
      <c r="D15">
        <f>B15*0.8</f>
        <v/>
      </c>
      <c r="E15" t="inlineStr">
        <is>
          <t>Direct input</t>
        </is>
      </c>
    </row>
    <row r="16">
      <c r="A16" t="inlineStr">
        <is>
          <t>Total Customers Acquired 3 Year</t>
        </is>
      </c>
      <c r="B16" t="n">
        <v>1220</v>
      </c>
      <c r="C16">
        <f>B16*1.2</f>
        <v/>
      </c>
      <c r="D16">
        <f>B16*0.8</f>
        <v/>
      </c>
      <c r="E16" t="inlineStr">
        <is>
          <t>Direct input</t>
        </is>
      </c>
    </row>
    <row r="17">
      <c r="A17" t="inlineStr">
        <is>
          <t>Total Gross Revenue Monthly 3 Year</t>
        </is>
      </c>
      <c r="B17" t="n">
        <v>1923000</v>
      </c>
      <c r="C17">
        <f>B17*1.2</f>
        <v/>
      </c>
      <c r="D17">
        <f>B17*0.8</f>
        <v/>
      </c>
      <c r="E17" t="inlineStr">
        <is>
          <t>Direct input</t>
        </is>
      </c>
    </row>
    <row r="18">
      <c r="A18" t="inlineStr">
        <is>
          <t>Total Gross Revenue Annual 3 Year</t>
        </is>
      </c>
      <c r="B18" t="n">
        <v>2415000</v>
      </c>
      <c r="C18">
        <f>B18*1.2</f>
        <v/>
      </c>
      <c r="D18">
        <f>B18*0.8</f>
        <v/>
      </c>
      <c r="E18" t="inlineStr">
        <is>
          <t>Direct input</t>
        </is>
      </c>
    </row>
    <row r="19">
      <c r="A19" t="inlineStr">
        <is>
          <t>Total Cac Spend 3 Year</t>
        </is>
      </c>
      <c r="B19" t="n">
        <v>610000</v>
      </c>
      <c r="C19">
        <f>B19*1.2</f>
        <v/>
      </c>
      <c r="D19">
        <f>B19*0.8</f>
        <v/>
      </c>
      <c r="E19" t="inlineStr">
        <is>
          <t>Direct input</t>
        </is>
      </c>
    </row>
    <row r="20">
      <c r="A20" t="inlineStr">
        <is>
          <t>Net Profit Monthly 3 Year</t>
        </is>
      </c>
      <c r="B20" t="n">
        <v>1313000</v>
      </c>
      <c r="C20">
        <f>B20*1.2</f>
        <v/>
      </c>
      <c r="D20">
        <f>B20*0.8</f>
        <v/>
      </c>
      <c r="E20" t="inlineStr">
        <is>
          <t>Direct input</t>
        </is>
      </c>
    </row>
    <row r="21">
      <c r="A21" t="inlineStr">
        <is>
          <t>Net Profit Annual 3 Year</t>
        </is>
      </c>
      <c r="B21" t="n">
        <v>1805000</v>
      </c>
      <c r="C21">
        <f>B21*1.2</f>
        <v/>
      </c>
      <c r="D21">
        <f>B21*0.8</f>
        <v/>
      </c>
      <c r="E21" t="inlineStr">
        <is>
          <t>Direct input</t>
        </is>
      </c>
    </row>
    <row r="22">
      <c r="A22" t="inlineStr">
        <is>
          <t>Roi Cac Monthly</t>
        </is>
      </c>
      <c r="B22" t="n">
        <v>296</v>
      </c>
      <c r="C22">
        <f>B22*1.2</f>
        <v/>
      </c>
      <c r="D22">
        <f>B22*0.8</f>
        <v/>
      </c>
      <c r="E22" t="inlineStr">
        <is>
          <t>Direct input</t>
        </is>
      </c>
    </row>
    <row r="23">
      <c r="A23" t="inlineStr">
        <is>
          <t>Roi Cac Annual</t>
        </is>
      </c>
      <c r="B23" t="n">
        <v>449</v>
      </c>
      <c r="C23">
        <f>B23*1.2</f>
        <v/>
      </c>
      <c r="D23">
        <f>B23*0.8</f>
        <v/>
      </c>
      <c r="E23" t="inlineStr">
        <is>
          <t>Direct input</t>
        </is>
      </c>
    </row>
    <row r="24">
      <c r="A24" t="inlineStr">
        <is>
          <t>Payback Period Monthly</t>
        </is>
      </c>
      <c r="B24" t="n">
        <v>5.1</v>
      </c>
      <c r="C24">
        <f>B24*1.2</f>
        <v/>
      </c>
      <c r="D24">
        <f>B24*0.8</f>
        <v/>
      </c>
      <c r="E24" t="inlineStr">
        <is>
          <t>Direct input</t>
        </is>
      </c>
    </row>
    <row r="25">
      <c r="A25" t="inlineStr">
        <is>
          <t>Payback Period Annual</t>
        </is>
      </c>
      <c r="B25" t="n">
        <v>0</v>
      </c>
      <c r="C25">
        <f>B25*1.2</f>
        <v/>
      </c>
      <c r="D25">
        <f>B25*0.8</f>
        <v/>
      </c>
      <c r="E25" t="inlineStr">
        <is>
          <t>Direct input</t>
        </is>
      </c>
    </row>
    <row r="26">
      <c r="A26" t="inlineStr">
        <is>
          <t>Npv Per Customer Monthly</t>
        </is>
      </c>
      <c r="B26" t="n">
        <v>1790</v>
      </c>
      <c r="C26">
        <f>B26*1.2</f>
        <v/>
      </c>
      <c r="D26">
        <f>B26*0.8</f>
        <v/>
      </c>
      <c r="E26" t="inlineStr">
        <is>
          <t>Direct input</t>
        </is>
      </c>
    </row>
    <row r="27">
      <c r="A27" t="inlineStr">
        <is>
          <t>Npv Per Customer Annual</t>
        </is>
      </c>
      <c r="B27" t="n">
        <v>990</v>
      </c>
      <c r="C27">
        <f>B27*1.2</f>
        <v/>
      </c>
      <c r="D27">
        <f>B27*0.8</f>
        <v/>
      </c>
      <c r="E27" t="inlineStr">
        <is>
          <t>Direct input</t>
        </is>
      </c>
    </row>
    <row r="28">
      <c r="A28" t="inlineStr">
        <is>
          <t>Discount Rate</t>
        </is>
      </c>
      <c r="B28" t="n">
        <v>10</v>
      </c>
      <c r="C28">
        <f>B28*1.2</f>
        <v/>
      </c>
      <c r="D28">
        <f>B28*0.8</f>
        <v/>
      </c>
      <c r="E28" t="inlineStr">
        <is>
          <t>Direct input</t>
        </is>
      </c>
    </row>
    <row r="29">
      <c r="A29" t="inlineStr">
        <is>
          <t>New Customers Per Month</t>
        </is>
      </c>
      <c r="B29" t="n">
        <v>20</v>
      </c>
      <c r="C29">
        <f>B29*1.2</f>
        <v/>
      </c>
      <c r="D29">
        <f>B29*0.8</f>
        <v/>
      </c>
      <c r="E29" t="inlineStr">
        <is>
          <t>Direct input</t>
        </is>
      </c>
    </row>
    <row r="30">
      <c r="A30" t="inlineStr">
        <is>
          <t>Initial Customer Base</t>
        </is>
      </c>
      <c r="B30" t="n">
        <v>500</v>
      </c>
      <c r="C30">
        <f>B30*1.2</f>
        <v/>
      </c>
      <c r="D30">
        <f>B30*0.8</f>
        <v/>
      </c>
      <c r="E30" t="inlineStr">
        <is>
          <t>Direct input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Data Visualizations</t>
        </is>
      </c>
    </row>
    <row r="3">
      <c r="A3" t="inlineStr">
        <is>
          <t>Chart data will be generated from metrics</t>
        </is>
      </c>
    </row>
    <row r="4">
      <c r="A4" t="inlineStr">
        <is>
          <t>In production, matplotlib charts can be embedded as images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</cols>
  <sheetData>
    <row r="1">
      <c r="A1" s="8" t="inlineStr">
        <is>
          <t>Assumptions &amp; Data Sources</t>
        </is>
      </c>
    </row>
    <row r="3">
      <c r="A3" s="9" t="inlineStr">
        <is>
          <t>Assumptions</t>
        </is>
      </c>
    </row>
    <row r="4">
      <c r="A4" s="13" t="inlineStr">
        <is>
          <t>Metric</t>
        </is>
      </c>
      <c r="B4" s="13" t="inlineStr">
        <is>
          <t>Source</t>
        </is>
      </c>
      <c r="C4" s="13" t="inlineStr">
        <is>
          <t>Confidence</t>
        </is>
      </c>
    </row>
    <row r="5">
      <c r="A5" t="inlineStr">
        <is>
          <t>Monthly Recurring Revenue Per Customer</t>
        </is>
      </c>
      <c r="B5" t="inlineStr">
        <is>
          <t>Assumption</t>
        </is>
      </c>
      <c r="C5" t="inlineStr">
        <is>
          <t>High</t>
        </is>
      </c>
    </row>
    <row r="6">
      <c r="A6" t="inlineStr">
        <is>
          <t>Annual Recurring Revenue Per Customer Monthly</t>
        </is>
      </c>
      <c r="B6" t="inlineStr">
        <is>
          <t>Calculation</t>
        </is>
      </c>
      <c r="C6" t="inlineStr">
        <is>
          <t>High</t>
        </is>
      </c>
    </row>
    <row r="7">
      <c r="A7" t="inlineStr">
        <is>
          <t>Annual Recurring Revenue Per Customer Annual</t>
        </is>
      </c>
      <c r="B7" t="inlineStr">
        <is>
          <t>Assumption</t>
        </is>
      </c>
      <c r="C7" t="inlineStr">
        <is>
          <t>High</t>
        </is>
      </c>
    </row>
    <row r="8">
      <c r="A8" t="inlineStr">
        <is>
          <t>Customer Acquisition Cost</t>
        </is>
      </c>
      <c r="B8" t="inlineStr">
        <is>
          <t>Assumption</t>
        </is>
      </c>
      <c r="C8" t="inlineStr">
        <is>
          <t>High</t>
        </is>
      </c>
    </row>
    <row r="9">
      <c r="A9" t="inlineStr">
        <is>
          <t>Monthly Churn Rate Monthly</t>
        </is>
      </c>
      <c r="B9" t="inlineStr">
        <is>
          <t>Assumption</t>
        </is>
      </c>
      <c r="C9" t="inlineStr">
        <is>
          <t>High</t>
        </is>
      </c>
    </row>
    <row r="10">
      <c r="A10" t="inlineStr">
        <is>
          <t>Monthly Churn Rate Annual</t>
        </is>
      </c>
      <c r="B10" t="inlineStr">
        <is>
          <t>Assumption</t>
        </is>
      </c>
      <c r="C10" t="inlineStr">
        <is>
          <t>High</t>
        </is>
      </c>
    </row>
    <row r="11">
      <c r="A11" t="inlineStr">
        <is>
          <t>Customer Lifetime Months Monthly</t>
        </is>
      </c>
      <c r="B11" t="inlineStr">
        <is>
          <t>Calculation</t>
        </is>
      </c>
      <c r="C11" t="inlineStr">
        <is>
          <t>High</t>
        </is>
      </c>
    </row>
    <row r="12">
      <c r="A12" t="inlineStr">
        <is>
          <t>Customer Lifetime Months Annual</t>
        </is>
      </c>
      <c r="B12" t="inlineStr">
        <is>
          <t>Calculation</t>
        </is>
      </c>
      <c r="C12" t="inlineStr">
        <is>
          <t>High</t>
        </is>
      </c>
    </row>
    <row r="13">
      <c r="A13" t="inlineStr">
        <is>
          <t>Lifetime Value Monthly</t>
        </is>
      </c>
      <c r="B13" t="inlineStr">
        <is>
          <t>Calculation</t>
        </is>
      </c>
      <c r="C13" t="inlineStr">
        <is>
          <t>High</t>
        </is>
      </c>
    </row>
    <row r="14">
      <c r="A14" t="inlineStr">
        <is>
          <t>Lifetime Value Annual</t>
        </is>
      </c>
      <c r="B14" t="inlineStr">
        <is>
          <t>Calculation</t>
        </is>
      </c>
      <c r="C14" t="inlineStr">
        <is>
          <t>High</t>
        </is>
      </c>
    </row>
    <row r="15">
      <c r="A15" t="inlineStr">
        <is>
          <t>Net Customer Value Monthly</t>
        </is>
      </c>
      <c r="B15" t="inlineStr">
        <is>
          <t>Calculation</t>
        </is>
      </c>
      <c r="C15" t="inlineStr">
        <is>
          <t>High</t>
        </is>
      </c>
    </row>
    <row r="16">
      <c r="A16" t="inlineStr">
        <is>
          <t>Net Customer Value Annual</t>
        </is>
      </c>
      <c r="B16" t="inlineStr">
        <is>
          <t>Calculation</t>
        </is>
      </c>
      <c r="C16" t="inlineStr">
        <is>
          <t>High</t>
        </is>
      </c>
    </row>
    <row r="17">
      <c r="A17" t="inlineStr">
        <is>
          <t>Total Customers Acquired 3 Year</t>
        </is>
      </c>
      <c r="B17" t="inlineStr">
        <is>
          <t>Calculation</t>
        </is>
      </c>
      <c r="C17" t="inlineStr">
        <is>
          <t>High</t>
        </is>
      </c>
    </row>
    <row r="18">
      <c r="A18" t="inlineStr">
        <is>
          <t>Total Gross Revenue Monthly 3 Year</t>
        </is>
      </c>
      <c r="B18" t="inlineStr">
        <is>
          <t>Calculation</t>
        </is>
      </c>
      <c r="C18" t="inlineStr">
        <is>
          <t>High</t>
        </is>
      </c>
    </row>
    <row r="19">
      <c r="A19" t="inlineStr">
        <is>
          <t>Total Gross Revenue Annual 3 Year</t>
        </is>
      </c>
      <c r="B19" t="inlineStr">
        <is>
          <t>Calculation</t>
        </is>
      </c>
      <c r="C19" t="inlineStr">
        <is>
          <t>High</t>
        </is>
      </c>
    </row>
    <row r="20">
      <c r="A20" t="inlineStr">
        <is>
          <t>Total Cac Spend 3 Year</t>
        </is>
      </c>
      <c r="B20" t="inlineStr">
        <is>
          <t>Calculation</t>
        </is>
      </c>
      <c r="C20" t="inlineStr">
        <is>
          <t>High</t>
        </is>
      </c>
    </row>
    <row r="21">
      <c r="A21" t="inlineStr">
        <is>
          <t>Net Profit Monthly 3 Year</t>
        </is>
      </c>
      <c r="B21" t="inlineStr">
        <is>
          <t>Calculation</t>
        </is>
      </c>
      <c r="C21" t="inlineStr">
        <is>
          <t>High</t>
        </is>
      </c>
    </row>
    <row r="22">
      <c r="A22" t="inlineStr">
        <is>
          <t>Net Profit Annual 3 Year</t>
        </is>
      </c>
      <c r="B22" t="inlineStr">
        <is>
          <t>Calculation</t>
        </is>
      </c>
      <c r="C22" t="inlineStr">
        <is>
          <t>High</t>
        </is>
      </c>
    </row>
    <row r="23">
      <c r="A23" t="inlineStr">
        <is>
          <t>Roi Cac Monthly</t>
        </is>
      </c>
      <c r="B23" t="inlineStr">
        <is>
          <t>Calculation</t>
        </is>
      </c>
      <c r="C23" t="inlineStr">
        <is>
          <t>High</t>
        </is>
      </c>
    </row>
    <row r="24">
      <c r="A24" t="inlineStr">
        <is>
          <t>Roi Cac Annual</t>
        </is>
      </c>
      <c r="B24" t="inlineStr">
        <is>
          <t>Calculation</t>
        </is>
      </c>
      <c r="C24" t="inlineStr">
        <is>
          <t>High</t>
        </is>
      </c>
    </row>
    <row r="25">
      <c r="A25" t="inlineStr">
        <is>
          <t>Payback Period Monthly</t>
        </is>
      </c>
      <c r="B25" t="inlineStr">
        <is>
          <t>Calculation</t>
        </is>
      </c>
      <c r="C25" t="inlineStr">
        <is>
          <t>High</t>
        </is>
      </c>
    </row>
    <row r="26">
      <c r="A26" t="inlineStr">
        <is>
          <t>Payback Period Annual</t>
        </is>
      </c>
      <c r="B26" t="inlineStr">
        <is>
          <t>Calculation</t>
        </is>
      </c>
      <c r="C26" t="inlineStr">
        <is>
          <t>High</t>
        </is>
      </c>
    </row>
    <row r="27">
      <c r="A27" t="inlineStr">
        <is>
          <t>Npv Per Customer Monthly</t>
        </is>
      </c>
      <c r="B27" t="inlineStr">
        <is>
          <t>Calculation</t>
        </is>
      </c>
      <c r="C27" t="inlineStr">
        <is>
          <t>Medium</t>
        </is>
      </c>
    </row>
    <row r="28">
      <c r="A28" t="inlineStr">
        <is>
          <t>Npv Per Customer Annual</t>
        </is>
      </c>
      <c r="B28" t="inlineStr">
        <is>
          <t>Calculation</t>
        </is>
      </c>
      <c r="C28" t="inlineStr">
        <is>
          <t>High</t>
        </is>
      </c>
    </row>
    <row r="29">
      <c r="A29" t="inlineStr">
        <is>
          <t>Discount Rate</t>
        </is>
      </c>
      <c r="B29" t="inlineStr">
        <is>
          <t>Assumption</t>
        </is>
      </c>
      <c r="C29" t="inlineStr">
        <is>
          <t>High</t>
        </is>
      </c>
    </row>
    <row r="30">
      <c r="A30" t="inlineStr">
        <is>
          <t>New Customers Per Month</t>
        </is>
      </c>
      <c r="B30" t="inlineStr">
        <is>
          <t>Assumption</t>
        </is>
      </c>
      <c r="C30" t="inlineStr">
        <is>
          <t>High</t>
        </is>
      </c>
    </row>
    <row r="31">
      <c r="A31" t="inlineStr">
        <is>
          <t>Initial Customer Base</t>
        </is>
      </c>
      <c r="B31" t="inlineStr">
        <is>
          <t>Assumption</t>
        </is>
      </c>
      <c r="C31" t="inlineStr">
        <is>
          <t>High</t>
        </is>
      </c>
    </row>
    <row r="36">
      <c r="A36" s="9" t="inlineStr">
        <is>
          <t>Analysis Methodology</t>
        </is>
      </c>
    </row>
    <row r="37">
      <c r="A37" t="inlineStr">
        <is>
          <t>Agent: Financial</t>
        </is>
      </c>
    </row>
    <row r="38">
      <c r="A38" t="inlineStr">
        <is>
          <t>Model: DeepSeek-V3.2-Exp (Chat)</t>
        </is>
      </c>
    </row>
    <row r="39">
      <c r="A39" t="inlineStr">
        <is>
          <t>Analysis Date: 2025-11-15 20:38:43</t>
        </is>
      </c>
    </row>
    <row r="40">
      <c r="A40" t="inlineStr">
        <is>
          <t>Overall Confidence: High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2025-11-15T20:38:44Z</dcterms:created>
  <dcterms:modified xmlns:dcterms="http://purl.org/dc/terms/" xmlns:xsi="http://www.w3.org/2001/XMLSchema-instance" xsi:type="dcterms:W3CDTF">2025-11-15T20:38:44Z</dcterms:modified>
</cp:coreProperties>
</file>